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ổng hợp phí" sheetId="1" r:id="rId1"/>
    <sheet name="Dữ liệu giao dịch" sheetId="2" r:id="rId2"/>
  </sheets>
  <definedNames>
    <definedName name="_xlnm._FilterDatabase" localSheetId="0" hidden="1">'Tổng hợp phí'!$A$4:$I$15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<sst xmlns="http://schemas.openxmlformats.org/spreadsheetml/2006/main" count="78" uniqueCount="63">
  <si>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BẢNG TỔNG HỢP PHÍ TỪ ĐỐI TÁC NGÂN HÀNG</t>
  </si>
  <si>
    <t>Tháng 05/2024</t>
  </si>
  <si>
    <t>STT</t>
  </si>
  <si>
    <t>Ngân hàng đối tác</t>
  </si>
  <si>
    <t>Mã đối tác</t>
  </si>
  <si>
    <t>Số giao dịch (thành công)</t>
  </si>
  <si>
    <t>Doanh số (VNĐ)</t>
  </si>
  <si>
    <t>Phí cố định (VNĐ)</t>
  </si>
  <si>
    <t>Tỷ lệ phí (%)</t>
  </si>
  <si>
    <t>Phí biến đổi (VNĐ)</t>
  </si>
  <si>
    <t>Tổng phí (VNĐ)</t>
  </si>
  <si>
    <t>Vietcombank</t>
  </si>
  <si>
    <t>VCB</t>
  </si>
  <si>
    <t>BIDV</t>
  </si>
  <si>
    <t>VietinBank</t>
  </si>
  <si>
    <t>CTG</t>
  </si>
  <si>
    <t>Techcombank</t>
  </si>
  <si>
    <t>TCB</t>
  </si>
  <si>
    <t>MB Bank</t>
  </si>
  <si>
    <t>MBB</t>
  </si>
  <si>
    <t>ACB</t>
  </si>
  <si>
    <t xml:space="preserve"> </t>
  </si>
  <si>
    <t>VPBank</t>
  </si>
  <si>
    <t>VPB</t>
  </si>
  <si>
    <t>TPBank</t>
  </si>
  <si>
    <t>TPB</t>
  </si>
  <si>
    <t>OCB</t>
  </si>
  <si>
    <t>SHB</t>
  </si>
  <si>
    <t>TỔNG CỘNG</t>
  </si>
  <si>
    <t>TỔNG HỢP</t>
  </si>
  <si>
    <t>Tổng doanh số (VNĐ)</t>
  </si>
  <si>
    <t>★ Ghi chú
Phí = Phí cố định + (Doanh số × Tỷ lệ phí)</t>
  </si>
  <si>
    <t>Tổng số giao dịch</t>
  </si>
  <si>
    <t>Tỷ lệ phí bình quân</t>
  </si>
  <si>
    <t>DỮ LIỆU ĐỐI SOÁT CHI TIẾT PAYKX</t>
  </si>
  <si>
    <t>Mã giao dịch</t>
  </si>
  <si>
    <t>Mã người dùng</t>
  </si>
  <si>
    <t>Tên người dùng</t>
  </si>
  <si>
    <t>Số tiền (VNĐ)</t>
  </si>
  <si>
    <t>Phí đối tác</t>
  </si>
  <si>
    <t>Trạng thái</t>
  </si>
  <si>
    <t>Chuẩn hóa ID</t>
  </si>
  <si>
    <t>Kết quả đối soát</t>
  </si>
  <si>
    <t>TRX001</t>
  </si>
  <si>
    <t>U001</t>
  </si>
  <si>
    <t>Nguyễn Văn An</t>
  </si>
  <si>
    <t>Thành công</t>
  </si>
  <si>
    <t>Khớp</t>
  </si>
  <si>
    <t>TRX002</t>
  </si>
  <si>
    <t>U002</t>
  </si>
  <si>
    <t>Trần Thị Bình</t>
  </si>
  <si>
    <t>TRX003</t>
  </si>
  <si>
    <t>U003</t>
  </si>
  <si>
    <t>Lê Minh Cường</t>
  </si>
  <si>
    <t>Thất bại</t>
  </si>
  <si>
    <t>Kiểm tra lại</t>
  </si>
  <si>
    <t>TRX004</t>
  </si>
  <si>
    <t>U004</t>
  </si>
  <si>
    <t>Phạm Hoàng Dũng</t>
  </si>
  <si>
    <t>TRX005</t>
  </si>
  <si>
    <t>U005</t>
  </si>
  <si>
    <t>Võ Minh Đức</t>
  </si>
  <si>
    <t>Đang xử lý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</si>
</sst>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\8\5%"/>
  </numFmts>
  <fonts count="26">
    <font>
      <sz val="11"/>
      <color theme="1"/>
      <name val="Calibri"/>
      <charset val="134"/>
      <scheme val="minor"/>
    </font>
    <font>
      <b/>
      <sz val="14"/>
      <color rgb="FF000000"/>
      <name val="Arial"/>
      <charset val="134"/>
    </font>
    <font>
      <b/>
      <sz val="9.5"/>
      <color rgb="FFFFFFFF"/>
      <name val="Arial"/>
      <charset val="134"/>
    </font>
    <font>
      <sz val="9.5"/>
      <name val="Arial"/>
      <charset val="134"/>
    </font>
    <font>
      <b/>
      <sz val="10"/>
      <color rgb="FF0D5226"/>
      <name val="Arial"/>
      <charset val="134"/>
    </font>
    <font>
      <b/>
      <sz val="9.5"/>
      <color rgb="FF0D5226"/>
      <name val="Arial"/>
      <charset val="134"/>
    </font>
    <font>
      <b/>
      <sz val="9.5"/>
      <color rgb="FFC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D5226"/>
        <bgColor rgb="FF0D5226"/>
      </patternFill>
    </fill>
    <fill>
      <patternFill patternType="solid">
        <fgColor rgb="FFF2F8F4"/>
        <bgColor rgb="FFF2F8F4"/>
      </patternFill>
    </fill>
    <fill>
      <patternFill patternType="solid">
        <fgColor rgb="FFE6F0E8"/>
        <bgColor rgb="FFE6F0E8"/>
      </patternFill>
    </fill>
    <fill>
      <patternFill patternType="solid">
        <fgColor rgb="FFD0E7D5"/>
        <bgColor rgb="FFD0E7D5"/>
      </patternFill>
    </fill>
    <fill>
      <patternFill patternType="solid">
        <fgColor rgb="FFF9FAFB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5" fillId="5" borderId="0" xfId="0" applyFont="1" applyFill="1"/>
    <xf numFmtId="0" fontId="0" fillId="5" borderId="0" xfId="0" applyFill="1"/>
    <xf numFmtId="0" fontId="3" fillId="0" borderId="1" xfId="0" applyFont="1" applyBorder="1"/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178" fontId="3" fillId="0" borderId="1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E10" sqref="E10"/>
    </sheetView>
  </sheetViews>
  <sheetFormatPr defaultColWidth="9" defaultRowHeight="14.4"/>
  <cols>
    <col min="1" max="1" width="8" customWidth="1"/>
    <col min="2" max="2" width="20" customWidth="1"/>
    <col min="3" max="3" width="14" customWidth="1"/>
    <col min="4" max="4" width="26" customWidth="1"/>
    <col min="5" max="5" width="20" customWidth="1"/>
    <col min="6" max="6" width="18" customWidth="1"/>
    <col min="7" max="7" width="14" customWidth="1"/>
    <col min="8" max="8" width="20" customWidth="1"/>
    <col min="9" max="9" width="18" customWidth="1"/>
  </cols>
  <sheetData>
    <row r="1" ht="25" customHeight="1" spans="1:9">
      <c r="A1" s="1" t="s">
        <v>0</v>
      </c>
    </row>
    <row r="2" ht="18" customHeight="1" spans="1:9">
      <c r="A2" s="6" t="s">
        <v>1</v>
      </c>
    </row>
    <row r="4" ht="28" customHeight="1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ht="22" customHeight="1" spans="1:9">
      <c r="A5" s="7">
        <v>1</v>
      </c>
      <c r="B5" s="8" t="s">
        <v>11</v>
      </c>
      <c r="C5" s="7" t="s">
        <v>12</v>
      </c>
      <c r="D5" s="9">
        <v>128345</v>
      </c>
      <c r="E5" s="9">
        <v>25364580000</v>
      </c>
      <c r="F5" s="9">
        <v>1000000</v>
      </c>
      <c r="G5" s="10">
        <v>0.0008</v>
      </c>
      <c r="H5" s="9">
        <f t="shared" ref="H5:H14" si="0">E5*G5</f>
        <v>20291664</v>
      </c>
      <c r="I5" s="9">
        <f t="shared" ref="I5:I14" si="1">F5+H5</f>
        <v>21291664</v>
      </c>
    </row>
    <row r="6" ht="22" customHeight="1" spans="1:9">
      <c r="A6" s="3">
        <v>2</v>
      </c>
      <c r="B6" s="4" t="s">
        <v>13</v>
      </c>
      <c r="C6" s="3" t="s">
        <v>13</v>
      </c>
      <c r="D6" s="5">
        <v>96732</v>
      </c>
      <c r="E6" s="5">
        <v>18245760000</v>
      </c>
      <c r="F6" s="5">
        <v>1000000</v>
      </c>
      <c r="G6" s="11">
        <v>0.0008</v>
      </c>
      <c r="H6" s="5">
        <f t="shared" si="0"/>
        <v>14596608</v>
      </c>
      <c r="I6" s="5">
        <f t="shared" si="1"/>
        <v>15596608</v>
      </c>
    </row>
    <row r="7" ht="22" customHeight="1" spans="1:9">
      <c r="A7" s="7">
        <v>3</v>
      </c>
      <c r="B7" s="8" t="s">
        <v>14</v>
      </c>
      <c r="C7" s="7" t="s">
        <v>15</v>
      </c>
      <c r="D7" s="9">
        <v>87531</v>
      </c>
      <c r="E7" s="9">
        <v>16834210000</v>
      </c>
      <c r="F7" s="9">
        <v>1000000</v>
      </c>
      <c r="G7" s="10">
        <v>0.0007</v>
      </c>
      <c r="H7" s="9">
        <f t="shared" si="0"/>
        <v>11783947</v>
      </c>
      <c r="I7" s="9">
        <f t="shared" si="1"/>
        <v>12783947</v>
      </c>
    </row>
    <row r="8" ht="22" customHeight="1" spans="1:9">
      <c r="A8" s="3">
        <v>4</v>
      </c>
      <c r="B8" s="4" t="s">
        <v>16</v>
      </c>
      <c r="C8" s="3" t="s">
        <v>17</v>
      </c>
      <c r="D8" s="5">
        <v>74113</v>
      </c>
      <c r="E8" s="5">
        <v>14102330000</v>
      </c>
      <c r="F8" s="5">
        <v>1000000</v>
      </c>
      <c r="G8" s="11">
        <v>0.0007</v>
      </c>
      <c r="H8" s="5">
        <f t="shared" si="0"/>
        <v>9871631</v>
      </c>
      <c r="I8" s="5">
        <f t="shared" si="1"/>
        <v>10871631</v>
      </c>
    </row>
    <row r="9" ht="22" customHeight="1" spans="1:9">
      <c r="A9" s="7">
        <v>5</v>
      </c>
      <c r="B9" s="8" t="s">
        <v>18</v>
      </c>
      <c r="C9" s="7" t="s">
        <v>19</v>
      </c>
      <c r="D9" s="9">
        <v>63921</v>
      </c>
      <c r="E9" s="9">
        <v>12009880000</v>
      </c>
      <c r="F9" s="9">
        <v>1000000</v>
      </c>
      <c r="G9" s="10">
        <v>0.0008</v>
      </c>
      <c r="H9" s="9">
        <f t="shared" si="0"/>
        <v>9607904</v>
      </c>
      <c r="I9" s="9">
        <f t="shared" si="1"/>
        <v>10607904</v>
      </c>
    </row>
    <row r="10" ht="22" customHeight="1" spans="1:9">
      <c r="A10" s="3">
        <v>6</v>
      </c>
      <c r="B10" s="4" t="s">
        <v>20</v>
      </c>
      <c r="C10" s="3" t="s">
        <v>20</v>
      </c>
      <c r="D10" s="5" t="s">
        <v>21</v>
      </c>
      <c r="E10" s="5">
        <v>9455230000</v>
      </c>
      <c r="F10" s="5">
        <v>1000000</v>
      </c>
      <c r="G10" s="11">
        <v>0.0008</v>
      </c>
      <c r="H10" s="5">
        <f t="shared" si="0"/>
        <v>7564184</v>
      </c>
      <c r="I10" s="5">
        <f t="shared" si="1"/>
        <v>8564184</v>
      </c>
    </row>
    <row r="11" ht="22" customHeight="1" spans="1:9">
      <c r="A11" s="7">
        <v>7</v>
      </c>
      <c r="B11" s="8" t="s">
        <v>22</v>
      </c>
      <c r="C11" s="7" t="s">
        <v>23</v>
      </c>
      <c r="D11" s="9">
        <v>49302</v>
      </c>
      <c r="E11" s="9">
        <v>8921450000</v>
      </c>
      <c r="F11" s="9">
        <v>1000000</v>
      </c>
      <c r="G11" s="10">
        <v>0.0008</v>
      </c>
      <c r="H11" s="9">
        <f t="shared" si="0"/>
        <v>7137160</v>
      </c>
      <c r="I11" s="9">
        <f t="shared" si="1"/>
        <v>8137160</v>
      </c>
    </row>
    <row r="12" ht="22" customHeight="1" spans="1:9">
      <c r="A12" s="3">
        <v>8</v>
      </c>
      <c r="B12" s="4" t="s">
        <v>24</v>
      </c>
      <c r="C12" s="3" t="s">
        <v>25</v>
      </c>
      <c r="D12" s="5">
        <v>38654</v>
      </c>
      <c r="E12" s="5">
        <v>6784120000</v>
      </c>
      <c r="F12" s="5">
        <v>1000000</v>
      </c>
      <c r="G12" s="11">
        <v>0.0008</v>
      </c>
      <c r="H12" s="5">
        <f t="shared" si="0"/>
        <v>5427296</v>
      </c>
      <c r="I12" s="5">
        <f t="shared" si="1"/>
        <v>6427296</v>
      </c>
    </row>
    <row r="13" ht="22" customHeight="1" spans="1:9">
      <c r="A13" s="7">
        <v>9</v>
      </c>
      <c r="B13" s="8" t="s">
        <v>26</v>
      </c>
      <c r="C13" s="7" t="s">
        <v>26</v>
      </c>
      <c r="D13" s="9">
        <v>27832</v>
      </c>
      <c r="E13" s="9">
        <v>4962630000</v>
      </c>
      <c r="F13" s="9">
        <v>1000000</v>
      </c>
      <c r="G13" s="10">
        <v>0.0008</v>
      </c>
      <c r="H13" s="9">
        <f t="shared" si="0"/>
        <v>3970104</v>
      </c>
      <c r="I13" s="9">
        <f t="shared" si="1"/>
        <v>4970104</v>
      </c>
    </row>
    <row r="14" ht="22" customHeight="1" spans="1:9">
      <c r="A14" s="3">
        <v>10</v>
      </c>
      <c r="B14" s="4" t="s">
        <v>27</v>
      </c>
      <c r="C14" s="3" t="s">
        <v>27</v>
      </c>
      <c r="D14" s="5">
        <v>22145</v>
      </c>
      <c r="E14" s="5">
        <v>3765230000</v>
      </c>
      <c r="F14" s="5">
        <v>1000000</v>
      </c>
      <c r="G14" s="11">
        <v>0.0008</v>
      </c>
      <c r="H14" s="5">
        <f t="shared" si="0"/>
        <v>3012184</v>
      </c>
      <c r="I14" s="5">
        <f t="shared" si="1"/>
        <v>4012184</v>
      </c>
    </row>
    <row r="15" ht="24" customHeight="1" spans="1:9">
      <c r="A15" s="12"/>
      <c r="B15" s="13" t="s">
        <v>28</v>
      </c>
      <c r="C15" s="12"/>
      <c r="D15" s="14">
        <f>SUM(D5:D14)</f>
        <v>588575</v>
      </c>
      <c r="E15" s="14">
        <f>SUM(E5:E14)</f>
        <v>120445420000</v>
      </c>
      <c r="F15" s="15">
        <f>SUM(F5:F14)</f>
        <v>10000000</v>
      </c>
      <c r="G15" s="12"/>
      <c r="H15" s="14">
        <f>SUM(H5:H14)</f>
        <v>93262682</v>
      </c>
      <c r="I15" s="14">
        <f>SUM(I5:I14)</f>
        <v>103262682</v>
      </c>
    </row>
    <row r="18" spans="1:6">
      <c r="A18" s="16" t="s">
        <v>29</v>
      </c>
      <c r="B18" s="17"/>
    </row>
    <row r="19" spans="1:6">
      <c r="A19" s="18" t="s">
        <v>30</v>
      </c>
      <c r="B19" s="5">
        <f>E15</f>
        <v>120445420000</v>
      </c>
      <c r="D19" s="19" t="s">
        <v>31</v>
      </c>
      <c r="E19" s="20"/>
      <c r="F19" s="20"/>
    </row>
    <row r="20" spans="1:6">
      <c r="A20" s="18" t="s">
        <v>32</v>
      </c>
      <c r="B20" s="5">
        <f>D15</f>
        <v>588575</v>
      </c>
      <c r="D20" s="20"/>
      <c r="E20" s="20"/>
      <c r="F20" s="20"/>
    </row>
    <row r="21" spans="1:6">
      <c r="A21" s="18" t="s">
        <v>10</v>
      </c>
      <c r="B21" s="5">
        <f>I15</f>
        <v>103262682</v>
      </c>
      <c r="D21" s="20"/>
      <c r="E21" s="20"/>
      <c r="F21" s="20"/>
    </row>
    <row r="22" spans="1:6">
      <c r="A22" s="18" t="s">
        <v>33</v>
      </c>
      <c r="B22" s="21">
        <f>I15/E15</f>
        <v>0.000857340046636892</v>
      </c>
    </row>
  </sheetData>
  <autoFilter xmlns:etc="http://www.wps.cn/officeDocument/2017/etCustomData" ref="A4:I15" etc:filterBottomFollowUsedRange="0">
    <extLst/>
  </autoFilter>
  <mergeCells count="3">
    <mergeCell ref="A1:I1"/>
    <mergeCell ref="A2:I2"/>
    <mergeCell ref="D19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4.4" outlineLevelCol="7"/>
  <cols>
    <col min="1" max="8" width="18" customWidth="1"/>
  </cols>
  <sheetData>
    <row r="1" ht="17.4" spans="1:8">
      <c r="A1" s="1" t="s">
        <v>34</v>
      </c>
    </row>
    <row r="4" ht="25" customHeight="1" spans="1:8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</row>
    <row r="5" ht="20" customHeight="1" spans="1:8">
      <c r="A5" s="3" t="s">
        <v>43</v>
      </c>
      <c r="B5" s="3" t="s">
        <v>44</v>
      </c>
      <c r="C5" s="4" t="s">
        <v>45</v>
      </c>
      <c r="D5" s="5">
        <v>500000</v>
      </c>
      <c r="E5" s="5">
        <v>1000</v>
      </c>
      <c r="F5" s="3" t="s">
        <v>46</v>
      </c>
      <c r="G5" s="3" t="s">
        <v>44</v>
      </c>
      <c r="H5" s="3" t="s">
        <v>47</v>
      </c>
    </row>
    <row r="6" ht="20" customHeight="1" spans="1:8">
      <c r="A6" s="3" t="s">
        <v>48</v>
      </c>
      <c r="B6" s="3" t="s">
        <v>49</v>
      </c>
      <c r="C6" s="4" t="s">
        <v>50</v>
      </c>
      <c r="D6" s="5">
        <v>1200000</v>
      </c>
      <c r="E6" s="5">
        <v>1500</v>
      </c>
      <c r="F6" s="3" t="s">
        <v>46</v>
      </c>
      <c r="G6" s="3" t="s">
        <v>49</v>
      </c>
      <c r="H6" s="3" t="s">
        <v>47</v>
      </c>
    </row>
    <row r="7" ht="20" customHeight="1" spans="1:8">
      <c r="A7" s="3" t="s">
        <v>51</v>
      </c>
      <c r="B7" s="3" t="s">
        <v>52</v>
      </c>
      <c r="C7" s="4" t="s">
        <v>53</v>
      </c>
      <c r="D7" s="5">
        <v>0</v>
      </c>
      <c r="E7" s="5">
        <v>2000</v>
      </c>
      <c r="F7" s="3" t="s">
        <v>54</v>
      </c>
      <c r="G7" s="3" t="s">
        <v>52</v>
      </c>
      <c r="H7" s="3" t="s">
        <v>55</v>
      </c>
    </row>
    <row r="8" ht="20" customHeight="1" spans="1:8">
      <c r="A8" s="3" t="s">
        <v>56</v>
      </c>
      <c r="B8" s="3" t="s">
        <v>57</v>
      </c>
      <c r="C8" s="4" t="s">
        <v>58</v>
      </c>
      <c r="D8" s="5">
        <v>850000</v>
      </c>
      <c r="E8" s="5">
        <v>1000</v>
      </c>
      <c r="F8" s="3" t="s">
        <v>46</v>
      </c>
      <c r="G8" s="3" t="s">
        <v>57</v>
      </c>
      <c r="H8" s="3" t="s">
        <v>47</v>
      </c>
    </row>
    <row r="9" ht="20" customHeight="1" spans="1:8">
      <c r="A9" s="3" t="s">
        <v>59</v>
      </c>
      <c r="B9" s="3" t="s">
        <v>60</v>
      </c>
      <c r="C9" s="4" t="s">
        <v>61</v>
      </c>
      <c r="D9" s="5">
        <v>2000000</v>
      </c>
      <c r="E9" s="5">
        <v>2500</v>
      </c>
      <c r="F9" s="3" t="s">
        <v>62</v>
      </c>
      <c r="G9" s="3" t="s">
        <v>60</v>
      </c>
      <c r="H9" s="3" t="s">
        <v>55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Tổng hợp phí</vt:lpstr>
      <vt:lpstr>Dữ liệu giao dịch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Đăng Khoa Võ Phan</cp:lastModifiedBy>
  <dcterms:created xsi:type="dcterms:W3CDTF">2026-10-26T10:19:00Z</dcterms:created>
  <dcterms:modified xsi:type="dcterms:W3CDTF">2026-10-26T10:22:22Z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A8DF2F3E557F4B5FAB454C5E55DD8592_12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